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miller/Documents/Fun/nfl/model results/"/>
    </mc:Choice>
  </mc:AlternateContent>
  <xr:revisionPtr revIDLastSave="0" documentId="13_ncr:1_{C61937C6-F1B9-1243-B3C7-214F17135157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V3" i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W12" i="1" s="1"/>
  <c r="U13" i="1"/>
  <c r="V13" i="1"/>
  <c r="U14" i="1"/>
  <c r="V14" i="1"/>
  <c r="U15" i="1"/>
  <c r="V1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2" i="1"/>
  <c r="V2" i="1"/>
  <c r="U2" i="1"/>
  <c r="W2" i="1" s="1"/>
  <c r="W10" i="1" l="1"/>
  <c r="W8" i="1"/>
  <c r="W9" i="1"/>
  <c r="W4" i="1"/>
  <c r="W3" i="1"/>
  <c r="W11" i="1"/>
  <c r="W14" i="1"/>
  <c r="W6" i="1"/>
  <c r="W15" i="1"/>
  <c r="W7" i="1"/>
  <c r="W13" i="1"/>
  <c r="W5" i="1"/>
</calcChain>
</file>

<file path=xl/sharedStrings.xml><?xml version="1.0" encoding="utf-8"?>
<sst xmlns="http://schemas.openxmlformats.org/spreadsheetml/2006/main" count="143" uniqueCount="89">
  <si>
    <t>game_id</t>
  </si>
  <si>
    <t>season</t>
  </si>
  <si>
    <t>week</t>
  </si>
  <si>
    <t>home_team</t>
  </si>
  <si>
    <t>away_team</t>
  </si>
  <si>
    <t>home_moneyline</t>
  </si>
  <si>
    <t>away_moneyline</t>
  </si>
  <si>
    <t>spread_line</t>
  </si>
  <si>
    <t>away_spread_odds</t>
  </si>
  <si>
    <t>home_spread_odds</t>
  </si>
  <si>
    <t>total_line</t>
  </si>
  <si>
    <t>under_odds</t>
  </si>
  <si>
    <t>over_odds</t>
  </si>
  <si>
    <t>prob_home</t>
  </si>
  <si>
    <t>prob_away</t>
  </si>
  <si>
    <t>pred</t>
  </si>
  <si>
    <t>pred_prob</t>
  </si>
  <si>
    <t>pred_home_ml</t>
  </si>
  <si>
    <t>pred_away_ml</t>
  </si>
  <si>
    <t>2025_10_LV_DEN</t>
  </si>
  <si>
    <t>DEN</t>
  </si>
  <si>
    <t>LV</t>
  </si>
  <si>
    <t>2025_10_ATL_IND</t>
  </si>
  <si>
    <t>IND</t>
  </si>
  <si>
    <t>ATL</t>
  </si>
  <si>
    <t>2025_10_NO_CAR</t>
  </si>
  <si>
    <t>CAR</t>
  </si>
  <si>
    <t>NO</t>
  </si>
  <si>
    <t>2025_10_NYG_CHI</t>
  </si>
  <si>
    <t>CHI</t>
  </si>
  <si>
    <t>NYG</t>
  </si>
  <si>
    <t>2025_10_JAX_HOU</t>
  </si>
  <si>
    <t>HOU</t>
  </si>
  <si>
    <t>JAX</t>
  </si>
  <si>
    <t>2025_10_BUF_MIA</t>
  </si>
  <si>
    <t>MIA</t>
  </si>
  <si>
    <t>BUF</t>
  </si>
  <si>
    <t>2025_10_BAL_MIN</t>
  </si>
  <si>
    <t>MIN</t>
  </si>
  <si>
    <t>BAL</t>
  </si>
  <si>
    <t>2025_10_CLE_NYJ</t>
  </si>
  <si>
    <t>NYJ</t>
  </si>
  <si>
    <t>CLE</t>
  </si>
  <si>
    <t>2025_10_NE_TB</t>
  </si>
  <si>
    <t>TB</t>
  </si>
  <si>
    <t>NE</t>
  </si>
  <si>
    <t>2025_10_ARI_SEA</t>
  </si>
  <si>
    <t>SEA</t>
  </si>
  <si>
    <t>ARI</t>
  </si>
  <si>
    <t>2025_10_LA_SF</t>
  </si>
  <si>
    <t>SF</t>
  </si>
  <si>
    <t>LA</t>
  </si>
  <si>
    <t>2025_10_DET_WAS</t>
  </si>
  <si>
    <t>WAS</t>
  </si>
  <si>
    <t>DET</t>
  </si>
  <si>
    <t>2025_10_PIT_LAC</t>
  </si>
  <si>
    <t>LAC</t>
  </si>
  <si>
    <t>PIT</t>
  </si>
  <si>
    <t>2025_10_PHI_GB</t>
  </si>
  <si>
    <t>GB</t>
  </si>
  <si>
    <t>PHI</t>
  </si>
  <si>
    <t>moneyline value</t>
  </si>
  <si>
    <t>home ml value</t>
  </si>
  <si>
    <t>away ml value</t>
  </si>
  <si>
    <t>pred_result</t>
  </si>
  <si>
    <t>spread pick</t>
  </si>
  <si>
    <t>ML</t>
  </si>
  <si>
    <t>Spread</t>
  </si>
  <si>
    <t>-4.5 (-110)</t>
  </si>
  <si>
    <t>+4.5 (-110)</t>
  </si>
  <si>
    <t>Vegas</t>
  </si>
  <si>
    <t>+141</t>
  </si>
  <si>
    <t>+180</t>
  </si>
  <si>
    <t>+7.43</t>
  </si>
  <si>
    <t>Model</t>
  </si>
  <si>
    <t>Spread Pick</t>
  </si>
  <si>
    <t>Straight Up</t>
  </si>
  <si>
    <t>ML Value</t>
  </si>
  <si>
    <t>-1.5 (-102)</t>
  </si>
  <si>
    <t>+1.5 (-118)</t>
  </si>
  <si>
    <t>-112</t>
  </si>
  <si>
    <t>+5.3</t>
  </si>
  <si>
    <t>+160</t>
  </si>
  <si>
    <t>+269</t>
  </si>
  <si>
    <t>+8.5</t>
  </si>
  <si>
    <t>-6.5 (-112)</t>
  </si>
  <si>
    <t>+6.5 (-108)</t>
  </si>
  <si>
    <t>+245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</si>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</sst>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tabSelected="1" zoomScale="120" zoomScaleNormal="120" workbookViewId="0">
      <selection activeCell="L20" sqref="L20"/>
    </sheetView>
  </sheetViews>
  <sheetFormatPr baseColWidth="10" defaultColWidth="8.83203125" defaultRowHeight="15" x14ac:dyDescent="0.2"/>
  <cols>
    <col min="1" max="1" width="16" bestFit="1" customWidth="1"/>
    <col min="2" max="2" width="6.33203125" bestFit="1" customWidth="1"/>
    <col min="3" max="3" width="5.33203125" bestFit="1" customWidth="1"/>
    <col min="4" max="4" width="10.5" bestFit="1" customWidth="1"/>
    <col min="5" max="5" width="9.83203125" bestFit="1" customWidth="1"/>
    <col min="6" max="6" width="14.83203125" bestFit="1" customWidth="1"/>
    <col min="7" max="7" width="14.1640625" bestFit="1" customWidth="1"/>
    <col min="8" max="8" width="10.1640625" bestFit="1" customWidth="1"/>
    <col min="9" max="9" width="15.5" bestFit="1" customWidth="1"/>
    <col min="10" max="10" width="16.33203125" bestFit="1" customWidth="1"/>
    <col min="11" max="11" width="8.6640625" bestFit="1" customWidth="1"/>
    <col min="12" max="12" width="10.33203125" bestFit="1" customWidth="1"/>
    <col min="13" max="13" width="9.1640625" bestFit="1" customWidth="1"/>
    <col min="14" max="15" width="12.1640625" bestFit="1" customWidth="1"/>
    <col min="16" max="16" width="4.83203125" bestFit="1" customWidth="1"/>
    <col min="17" max="17" width="12.1640625" bestFit="1" customWidth="1"/>
    <col min="18" max="18" width="13" bestFit="1" customWidth="1"/>
    <col min="19" max="19" width="12.33203125" bestFit="1" customWidth="1"/>
    <col min="20" max="20" width="12.6640625" bestFit="1" customWidth="1"/>
    <col min="21" max="22" width="12.6640625" customWidth="1"/>
    <col min="23" max="23" width="14" bestFit="1" customWidth="1"/>
    <col min="24" max="24" width="15.6640625" bestFit="1" customWidth="1"/>
    <col min="25" max="25" width="15" bestFit="1" customWidth="1"/>
    <col min="26" max="26" width="10.832031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64</v>
      </c>
      <c r="U1" s="3" t="s">
        <v>62</v>
      </c>
      <c r="V1" s="3" t="s">
        <v>63</v>
      </c>
      <c r="W1" s="2" t="s">
        <v>61</v>
      </c>
      <c r="X1" s="2" t="s">
        <v>65</v>
      </c>
      <c r="Y1" s="2"/>
    </row>
    <row r="2" spans="1:25" x14ac:dyDescent="0.2">
      <c r="A2" t="s">
        <v>19</v>
      </c>
      <c r="B2">
        <v>2025</v>
      </c>
      <c r="C2">
        <v>10</v>
      </c>
      <c r="D2" t="s">
        <v>20</v>
      </c>
      <c r="E2" t="s">
        <v>21</v>
      </c>
      <c r="F2">
        <v>-500</v>
      </c>
      <c r="G2">
        <v>380</v>
      </c>
      <c r="H2">
        <v>9.5</v>
      </c>
      <c r="I2">
        <v>-110</v>
      </c>
      <c r="J2">
        <v>-110</v>
      </c>
      <c r="K2">
        <v>42.5</v>
      </c>
      <c r="L2">
        <v>-102</v>
      </c>
      <c r="M2">
        <v>-118</v>
      </c>
      <c r="N2">
        <v>0.77203565608629265</v>
      </c>
      <c r="O2">
        <v>0.22796434391370729</v>
      </c>
      <c r="P2" t="s">
        <v>20</v>
      </c>
      <c r="Q2">
        <v>0.77203565608629265</v>
      </c>
      <c r="R2">
        <v>-338</v>
      </c>
      <c r="S2">
        <v>338</v>
      </c>
      <c r="T2">
        <v>8.6351770727373047</v>
      </c>
      <c r="U2">
        <f>F2-R2</f>
        <v>-162</v>
      </c>
      <c r="V2">
        <f>G2-S2</f>
        <v>42</v>
      </c>
      <c r="W2" t="str">
        <f>IF(U2&gt;V2, "home", "away")</f>
        <v>away</v>
      </c>
      <c r="X2" t="str">
        <f>IF(H2-T2&gt;0, "away", "home")</f>
        <v>away</v>
      </c>
    </row>
    <row r="3" spans="1:25" x14ac:dyDescent="0.2">
      <c r="A3" t="s">
        <v>22</v>
      </c>
      <c r="B3">
        <v>2025</v>
      </c>
      <c r="C3">
        <v>10</v>
      </c>
      <c r="D3" t="s">
        <v>23</v>
      </c>
      <c r="E3" t="s">
        <v>24</v>
      </c>
      <c r="F3">
        <v>-340</v>
      </c>
      <c r="G3">
        <v>270</v>
      </c>
      <c r="H3">
        <v>6.5</v>
      </c>
      <c r="I3">
        <v>-108</v>
      </c>
      <c r="J3">
        <v>-112</v>
      </c>
      <c r="K3">
        <v>48.5</v>
      </c>
      <c r="L3">
        <v>-112</v>
      </c>
      <c r="M3">
        <v>-108</v>
      </c>
      <c r="N3">
        <v>0.72958342298176881</v>
      </c>
      <c r="O3">
        <v>0.27041657701823119</v>
      </c>
      <c r="P3" t="s">
        <v>23</v>
      </c>
      <c r="Q3">
        <v>0.72958342298176881</v>
      </c>
      <c r="R3">
        <v>-269</v>
      </c>
      <c r="S3">
        <v>269</v>
      </c>
      <c r="T3">
        <v>8.4746813394184066</v>
      </c>
      <c r="U3">
        <f t="shared" ref="U3:U15" si="0">F3-R3</f>
        <v>-71</v>
      </c>
      <c r="V3">
        <f t="shared" ref="V3:V15" si="1">G3-S3</f>
        <v>1</v>
      </c>
      <c r="W3" t="str">
        <f t="shared" ref="W3:W15" si="2">IF(U3&gt;V3, "home", "away")</f>
        <v>away</v>
      </c>
      <c r="X3" t="str">
        <f t="shared" ref="X3:X15" si="3">IF(H3-T3&gt;0, "away", "home")</f>
        <v>home</v>
      </c>
    </row>
    <row r="4" spans="1:25" x14ac:dyDescent="0.2">
      <c r="A4" t="s">
        <v>25</v>
      </c>
      <c r="B4">
        <v>2025</v>
      </c>
      <c r="C4">
        <v>10</v>
      </c>
      <c r="D4" t="s">
        <v>26</v>
      </c>
      <c r="E4" t="s">
        <v>27</v>
      </c>
      <c r="F4">
        <v>-245</v>
      </c>
      <c r="G4">
        <v>200</v>
      </c>
      <c r="H4">
        <v>5.5</v>
      </c>
      <c r="I4">
        <v>-112</v>
      </c>
      <c r="J4">
        <v>-108</v>
      </c>
      <c r="K4">
        <v>39.5</v>
      </c>
      <c r="L4">
        <v>-102</v>
      </c>
      <c r="M4">
        <v>-118</v>
      </c>
      <c r="N4">
        <v>0.69163038867224136</v>
      </c>
      <c r="O4">
        <v>0.30836961132775859</v>
      </c>
      <c r="P4" t="s">
        <v>26</v>
      </c>
      <c r="Q4">
        <v>0.69163038867224136</v>
      </c>
      <c r="R4">
        <v>-224</v>
      </c>
      <c r="S4">
        <v>224</v>
      </c>
      <c r="T4">
        <v>3.3163661415167689</v>
      </c>
      <c r="U4">
        <f t="shared" si="0"/>
        <v>-21</v>
      </c>
      <c r="V4">
        <f t="shared" si="1"/>
        <v>-24</v>
      </c>
      <c r="W4" t="str">
        <f t="shared" si="2"/>
        <v>home</v>
      </c>
      <c r="X4" t="str">
        <f t="shared" si="3"/>
        <v>away</v>
      </c>
    </row>
    <row r="5" spans="1:25" x14ac:dyDescent="0.2">
      <c r="A5" t="s">
        <v>28</v>
      </c>
      <c r="B5">
        <v>2025</v>
      </c>
      <c r="C5">
        <v>10</v>
      </c>
      <c r="D5" t="s">
        <v>29</v>
      </c>
      <c r="E5" t="s">
        <v>30</v>
      </c>
      <c r="F5">
        <v>-218</v>
      </c>
      <c r="G5">
        <v>180</v>
      </c>
      <c r="H5">
        <v>4.5</v>
      </c>
      <c r="I5">
        <v>-110</v>
      </c>
      <c r="J5">
        <v>-110</v>
      </c>
      <c r="K5">
        <v>46.5</v>
      </c>
      <c r="L5">
        <v>-105</v>
      </c>
      <c r="M5">
        <v>-115</v>
      </c>
      <c r="N5">
        <v>0.58538523081288274</v>
      </c>
      <c r="O5">
        <v>0.41461476918711732</v>
      </c>
      <c r="P5" t="s">
        <v>29</v>
      </c>
      <c r="Q5">
        <v>0.58538523081288274</v>
      </c>
      <c r="R5">
        <v>-141</v>
      </c>
      <c r="S5">
        <v>141</v>
      </c>
      <c r="T5">
        <v>7.4280673344455472</v>
      </c>
      <c r="U5">
        <f t="shared" si="0"/>
        <v>-77</v>
      </c>
      <c r="V5">
        <f t="shared" si="1"/>
        <v>39</v>
      </c>
      <c r="W5" t="str">
        <f t="shared" si="2"/>
        <v>away</v>
      </c>
      <c r="X5" t="str">
        <f t="shared" si="3"/>
        <v>home</v>
      </c>
    </row>
    <row r="6" spans="1:25" x14ac:dyDescent="0.2">
      <c r="A6" t="s">
        <v>31</v>
      </c>
      <c r="B6">
        <v>2025</v>
      </c>
      <c r="C6">
        <v>10</v>
      </c>
      <c r="D6" t="s">
        <v>32</v>
      </c>
      <c r="E6" t="s">
        <v>33</v>
      </c>
      <c r="F6">
        <v>-108</v>
      </c>
      <c r="G6">
        <v>-112</v>
      </c>
      <c r="H6">
        <v>-1.5</v>
      </c>
      <c r="I6">
        <v>-102</v>
      </c>
      <c r="J6">
        <v>-118</v>
      </c>
      <c r="K6">
        <v>37.5</v>
      </c>
      <c r="L6">
        <v>-112</v>
      </c>
      <c r="M6">
        <v>-108</v>
      </c>
      <c r="N6">
        <v>0.61578390121553961</v>
      </c>
      <c r="O6">
        <v>0.38421609878446039</v>
      </c>
      <c r="P6" t="s">
        <v>32</v>
      </c>
      <c r="Q6">
        <v>0.61578390121553961</v>
      </c>
      <c r="R6">
        <v>-160</v>
      </c>
      <c r="S6">
        <v>160</v>
      </c>
      <c r="T6">
        <v>5.2651342411031461</v>
      </c>
      <c r="U6">
        <f t="shared" si="0"/>
        <v>52</v>
      </c>
      <c r="V6">
        <f t="shared" si="1"/>
        <v>-272</v>
      </c>
      <c r="W6" t="str">
        <f t="shared" si="2"/>
        <v>home</v>
      </c>
      <c r="X6" t="str">
        <f t="shared" si="3"/>
        <v>home</v>
      </c>
    </row>
    <row r="7" spans="1:25" x14ac:dyDescent="0.2">
      <c r="A7" t="s">
        <v>34</v>
      </c>
      <c r="B7">
        <v>2025</v>
      </c>
      <c r="C7">
        <v>10</v>
      </c>
      <c r="D7" t="s">
        <v>35</v>
      </c>
      <c r="E7" t="s">
        <v>36</v>
      </c>
      <c r="F7">
        <v>350</v>
      </c>
      <c r="G7">
        <v>-455</v>
      </c>
      <c r="H7">
        <v>-9.5</v>
      </c>
      <c r="I7">
        <v>-110</v>
      </c>
      <c r="J7">
        <v>-110</v>
      </c>
      <c r="K7">
        <v>50.5</v>
      </c>
      <c r="L7">
        <v>-115</v>
      </c>
      <c r="M7">
        <v>-105</v>
      </c>
      <c r="N7">
        <v>0.27009411340001382</v>
      </c>
      <c r="O7">
        <v>0.72990588659998623</v>
      </c>
      <c r="P7" t="s">
        <v>36</v>
      </c>
      <c r="Q7">
        <v>0.72990588659998623</v>
      </c>
      <c r="R7">
        <v>270</v>
      </c>
      <c r="S7">
        <v>-270</v>
      </c>
      <c r="T7">
        <v>-9.2447202099004944</v>
      </c>
      <c r="U7">
        <f t="shared" si="0"/>
        <v>80</v>
      </c>
      <c r="V7">
        <f t="shared" si="1"/>
        <v>-185</v>
      </c>
      <c r="W7" t="str">
        <f t="shared" si="2"/>
        <v>home</v>
      </c>
      <c r="X7" t="str">
        <f t="shared" si="3"/>
        <v>home</v>
      </c>
    </row>
    <row r="8" spans="1:25" x14ac:dyDescent="0.2">
      <c r="A8" t="s">
        <v>37</v>
      </c>
      <c r="B8">
        <v>2025</v>
      </c>
      <c r="C8">
        <v>10</v>
      </c>
      <c r="D8" t="s">
        <v>38</v>
      </c>
      <c r="E8" t="s">
        <v>39</v>
      </c>
      <c r="F8">
        <v>185</v>
      </c>
      <c r="G8">
        <v>-225</v>
      </c>
      <c r="H8">
        <v>-3.5</v>
      </c>
      <c r="I8">
        <v>-118</v>
      </c>
      <c r="J8">
        <v>-102</v>
      </c>
      <c r="K8">
        <v>49.5</v>
      </c>
      <c r="L8">
        <v>-115</v>
      </c>
      <c r="M8">
        <v>-105</v>
      </c>
      <c r="N8">
        <v>0.44063094967763328</v>
      </c>
      <c r="O8">
        <v>0.55936905032236672</v>
      </c>
      <c r="P8" t="s">
        <v>39</v>
      </c>
      <c r="Q8">
        <v>0.55936905032236672</v>
      </c>
      <c r="R8">
        <v>126</v>
      </c>
      <c r="S8">
        <v>-126</v>
      </c>
      <c r="T8">
        <v>0.55928186146149217</v>
      </c>
      <c r="U8">
        <f t="shared" si="0"/>
        <v>59</v>
      </c>
      <c r="V8">
        <f t="shared" si="1"/>
        <v>-99</v>
      </c>
      <c r="W8" t="str">
        <f t="shared" si="2"/>
        <v>home</v>
      </c>
      <c r="X8" t="str">
        <f t="shared" si="3"/>
        <v>home</v>
      </c>
    </row>
    <row r="9" spans="1:25" x14ac:dyDescent="0.2">
      <c r="A9" t="s">
        <v>40</v>
      </c>
      <c r="B9">
        <v>2025</v>
      </c>
      <c r="C9">
        <v>10</v>
      </c>
      <c r="D9" t="s">
        <v>41</v>
      </c>
      <c r="E9" t="s">
        <v>42</v>
      </c>
      <c r="F9">
        <v>114</v>
      </c>
      <c r="G9">
        <v>-135</v>
      </c>
      <c r="H9">
        <v>-2.5</v>
      </c>
      <c r="I9">
        <v>-110</v>
      </c>
      <c r="J9">
        <v>-110</v>
      </c>
      <c r="K9">
        <v>37.5</v>
      </c>
      <c r="L9">
        <v>-105</v>
      </c>
      <c r="M9">
        <v>-115</v>
      </c>
      <c r="N9">
        <v>0.63190848946928391</v>
      </c>
      <c r="O9">
        <v>0.36809151053071609</v>
      </c>
      <c r="P9" t="s">
        <v>41</v>
      </c>
      <c r="Q9">
        <v>0.63190848946928391</v>
      </c>
      <c r="R9">
        <v>-171</v>
      </c>
      <c r="S9">
        <v>171</v>
      </c>
      <c r="T9">
        <v>5.1629631969529539</v>
      </c>
      <c r="U9">
        <f t="shared" si="0"/>
        <v>285</v>
      </c>
      <c r="V9">
        <f t="shared" si="1"/>
        <v>-306</v>
      </c>
      <c r="W9" t="str">
        <f t="shared" si="2"/>
        <v>home</v>
      </c>
      <c r="X9" t="str">
        <f t="shared" si="3"/>
        <v>home</v>
      </c>
    </row>
    <row r="10" spans="1:25" x14ac:dyDescent="0.2">
      <c r="A10" t="s">
        <v>43</v>
      </c>
      <c r="B10">
        <v>2025</v>
      </c>
      <c r="C10">
        <v>10</v>
      </c>
      <c r="D10" t="s">
        <v>44</v>
      </c>
      <c r="E10" t="s">
        <v>45</v>
      </c>
      <c r="F10">
        <v>-142</v>
      </c>
      <c r="G10">
        <v>120</v>
      </c>
      <c r="H10">
        <v>2.5</v>
      </c>
      <c r="I10">
        <v>-110</v>
      </c>
      <c r="J10">
        <v>-110</v>
      </c>
      <c r="K10">
        <v>48.5</v>
      </c>
      <c r="L10">
        <v>-105</v>
      </c>
      <c r="M10">
        <v>-115</v>
      </c>
      <c r="N10">
        <v>0.55697680009574357</v>
      </c>
      <c r="O10">
        <v>0.44302319990425643</v>
      </c>
      <c r="P10" t="s">
        <v>44</v>
      </c>
      <c r="Q10">
        <v>0.55697680009574357</v>
      </c>
      <c r="R10">
        <v>-125</v>
      </c>
      <c r="S10">
        <v>125</v>
      </c>
      <c r="T10">
        <v>6.5325304474819532</v>
      </c>
      <c r="U10">
        <f t="shared" si="0"/>
        <v>-17</v>
      </c>
      <c r="V10">
        <f t="shared" si="1"/>
        <v>-5</v>
      </c>
      <c r="W10" t="str">
        <f t="shared" si="2"/>
        <v>away</v>
      </c>
      <c r="X10" t="str">
        <f t="shared" si="3"/>
        <v>home</v>
      </c>
    </row>
    <row r="11" spans="1:25" x14ac:dyDescent="0.2">
      <c r="A11" t="s">
        <v>46</v>
      </c>
      <c r="B11">
        <v>2025</v>
      </c>
      <c r="C11">
        <v>10</v>
      </c>
      <c r="D11" t="s">
        <v>47</v>
      </c>
      <c r="E11" t="s">
        <v>48</v>
      </c>
      <c r="F11">
        <v>-305</v>
      </c>
      <c r="G11">
        <v>245</v>
      </c>
      <c r="H11">
        <v>6.5</v>
      </c>
      <c r="I11">
        <v>-105</v>
      </c>
      <c r="J11">
        <v>-115</v>
      </c>
      <c r="K11">
        <v>45.5</v>
      </c>
      <c r="L11">
        <v>-110</v>
      </c>
      <c r="M11">
        <v>-110</v>
      </c>
      <c r="N11">
        <v>0.60338827306238585</v>
      </c>
      <c r="O11">
        <v>0.39661172693761421</v>
      </c>
      <c r="P11" t="s">
        <v>47</v>
      </c>
      <c r="Q11">
        <v>0.60338827306238585</v>
      </c>
      <c r="R11">
        <v>-152</v>
      </c>
      <c r="S11">
        <v>152</v>
      </c>
      <c r="T11">
        <v>2.357735531778252</v>
      </c>
      <c r="U11">
        <f t="shared" si="0"/>
        <v>-153</v>
      </c>
      <c r="V11">
        <f t="shared" si="1"/>
        <v>93</v>
      </c>
      <c r="W11" t="str">
        <f t="shared" si="2"/>
        <v>away</v>
      </c>
      <c r="X11" t="str">
        <f t="shared" si="3"/>
        <v>away</v>
      </c>
    </row>
    <row r="12" spans="1:25" x14ac:dyDescent="0.2">
      <c r="A12" t="s">
        <v>49</v>
      </c>
      <c r="B12">
        <v>2025</v>
      </c>
      <c r="C12">
        <v>10</v>
      </c>
      <c r="D12" t="s">
        <v>50</v>
      </c>
      <c r="E12" t="s">
        <v>51</v>
      </c>
      <c r="F12">
        <v>180</v>
      </c>
      <c r="G12">
        <v>-218</v>
      </c>
      <c r="H12">
        <v>-4.5</v>
      </c>
      <c r="I12">
        <v>-105</v>
      </c>
      <c r="J12">
        <v>-115</v>
      </c>
      <c r="K12">
        <v>49.5</v>
      </c>
      <c r="L12">
        <v>-110</v>
      </c>
      <c r="M12">
        <v>-110</v>
      </c>
      <c r="N12">
        <v>0.39503226773981542</v>
      </c>
      <c r="O12">
        <v>0.60496773226018452</v>
      </c>
      <c r="P12" t="s">
        <v>51</v>
      </c>
      <c r="Q12">
        <v>0.60496773226018452</v>
      </c>
      <c r="R12">
        <v>153</v>
      </c>
      <c r="S12">
        <v>-153</v>
      </c>
      <c r="T12">
        <v>-5.5153975618708602</v>
      </c>
      <c r="U12">
        <f t="shared" si="0"/>
        <v>27</v>
      </c>
      <c r="V12">
        <f t="shared" si="1"/>
        <v>-65</v>
      </c>
      <c r="W12" t="str">
        <f t="shared" si="2"/>
        <v>home</v>
      </c>
      <c r="X12" t="str">
        <f t="shared" si="3"/>
        <v>away</v>
      </c>
    </row>
    <row r="13" spans="1:25" x14ac:dyDescent="0.2">
      <c r="A13" t="s">
        <v>52</v>
      </c>
      <c r="B13">
        <v>2025</v>
      </c>
      <c r="C13">
        <v>10</v>
      </c>
      <c r="D13" t="s">
        <v>53</v>
      </c>
      <c r="E13" t="s">
        <v>54</v>
      </c>
      <c r="F13">
        <v>360</v>
      </c>
      <c r="G13">
        <v>-470</v>
      </c>
      <c r="H13">
        <v>-7.5</v>
      </c>
      <c r="I13">
        <v>-115</v>
      </c>
      <c r="J13">
        <v>-105</v>
      </c>
      <c r="K13">
        <v>49.5</v>
      </c>
      <c r="L13">
        <v>-112</v>
      </c>
      <c r="M13">
        <v>-108</v>
      </c>
      <c r="N13">
        <v>0.32087640503902037</v>
      </c>
      <c r="O13">
        <v>0.67912359496097963</v>
      </c>
      <c r="P13" t="s">
        <v>54</v>
      </c>
      <c r="Q13">
        <v>0.67912359496097963</v>
      </c>
      <c r="R13">
        <v>211</v>
      </c>
      <c r="S13">
        <v>-211</v>
      </c>
      <c r="T13">
        <v>-9.4362437729085418</v>
      </c>
      <c r="U13">
        <f t="shared" si="0"/>
        <v>149</v>
      </c>
      <c r="V13">
        <f t="shared" si="1"/>
        <v>-259</v>
      </c>
      <c r="W13" t="str">
        <f t="shared" si="2"/>
        <v>home</v>
      </c>
      <c r="X13" t="str">
        <f t="shared" si="3"/>
        <v>away</v>
      </c>
    </row>
    <row r="14" spans="1:25" x14ac:dyDescent="0.2">
      <c r="A14" t="s">
        <v>55</v>
      </c>
      <c r="B14">
        <v>2025</v>
      </c>
      <c r="C14">
        <v>10</v>
      </c>
      <c r="D14" t="s">
        <v>56</v>
      </c>
      <c r="E14" t="s">
        <v>57</v>
      </c>
      <c r="F14">
        <v>-166</v>
      </c>
      <c r="G14">
        <v>140</v>
      </c>
      <c r="H14">
        <v>3</v>
      </c>
      <c r="I14">
        <v>-112</v>
      </c>
      <c r="J14">
        <v>-108</v>
      </c>
      <c r="K14">
        <v>44.5</v>
      </c>
      <c r="L14">
        <v>-105</v>
      </c>
      <c r="M14">
        <v>-115</v>
      </c>
      <c r="N14">
        <v>0.63513633530080937</v>
      </c>
      <c r="O14">
        <v>0.36486366469919063</v>
      </c>
      <c r="P14" t="s">
        <v>56</v>
      </c>
      <c r="Q14">
        <v>0.63513633530080937</v>
      </c>
      <c r="R14">
        <v>-174</v>
      </c>
      <c r="S14">
        <v>174</v>
      </c>
      <c r="T14">
        <v>4.4348644804211146</v>
      </c>
      <c r="U14">
        <f t="shared" si="0"/>
        <v>8</v>
      </c>
      <c r="V14">
        <f t="shared" si="1"/>
        <v>-34</v>
      </c>
      <c r="W14" t="str">
        <f t="shared" si="2"/>
        <v>home</v>
      </c>
      <c r="X14" t="str">
        <f t="shared" si="3"/>
        <v>home</v>
      </c>
    </row>
    <row r="15" spans="1:25" x14ac:dyDescent="0.2">
      <c r="A15" t="s">
        <v>58</v>
      </c>
      <c r="B15">
        <v>2025</v>
      </c>
      <c r="C15">
        <v>10</v>
      </c>
      <c r="D15" t="s">
        <v>59</v>
      </c>
      <c r="E15" t="s">
        <v>60</v>
      </c>
      <c r="F15">
        <v>-130</v>
      </c>
      <c r="G15">
        <v>110</v>
      </c>
      <c r="H15">
        <v>2.5</v>
      </c>
      <c r="I15">
        <v>-115</v>
      </c>
      <c r="J15">
        <v>-105</v>
      </c>
      <c r="K15">
        <v>45.5</v>
      </c>
      <c r="L15">
        <v>-112</v>
      </c>
      <c r="M15">
        <v>-108</v>
      </c>
      <c r="N15">
        <v>0.56330037217541007</v>
      </c>
      <c r="O15">
        <v>0.43669962782458988</v>
      </c>
      <c r="P15" t="s">
        <v>59</v>
      </c>
      <c r="Q15">
        <v>0.56330037217541007</v>
      </c>
      <c r="R15">
        <v>-128</v>
      </c>
      <c r="S15">
        <v>128</v>
      </c>
      <c r="T15">
        <v>2.478139085951919</v>
      </c>
      <c r="U15">
        <f t="shared" si="0"/>
        <v>-2</v>
      </c>
      <c r="V15">
        <f t="shared" si="1"/>
        <v>-18</v>
      </c>
      <c r="W15" t="str">
        <f t="shared" si="2"/>
        <v>home</v>
      </c>
      <c r="X15" t="str">
        <f t="shared" si="3"/>
        <v>away</v>
      </c>
    </row>
    <row r="17" spans="4:10" x14ac:dyDescent="0.2">
      <c r="D17" s="6" t="s">
        <v>70</v>
      </c>
      <c r="H17" s="6" t="s">
        <v>70</v>
      </c>
    </row>
    <row r="18" spans="4:10" x14ac:dyDescent="0.2">
      <c r="E18" s="4" t="s">
        <v>67</v>
      </c>
      <c r="F18" s="4" t="s">
        <v>66</v>
      </c>
      <c r="I18" s="4" t="s">
        <v>67</v>
      </c>
      <c r="J18" s="4" t="s">
        <v>66</v>
      </c>
    </row>
    <row r="19" spans="4:10" x14ac:dyDescent="0.2">
      <c r="D19" t="s">
        <v>30</v>
      </c>
      <c r="E19" s="5" t="s">
        <v>69</v>
      </c>
      <c r="F19" s="5" t="s">
        <v>72</v>
      </c>
      <c r="H19" t="s">
        <v>33</v>
      </c>
      <c r="I19" s="5" t="s">
        <v>78</v>
      </c>
      <c r="J19" s="5" t="s">
        <v>80</v>
      </c>
    </row>
    <row r="20" spans="4:10" x14ac:dyDescent="0.2">
      <c r="D20" t="s">
        <v>29</v>
      </c>
      <c r="E20" s="5" t="s">
        <v>68</v>
      </c>
      <c r="F20" s="4">
        <v>-218</v>
      </c>
      <c r="H20" t="s">
        <v>32</v>
      </c>
      <c r="I20" s="5" t="s">
        <v>79</v>
      </c>
      <c r="J20" s="4">
        <v>-108</v>
      </c>
    </row>
    <row r="22" spans="4:10" x14ac:dyDescent="0.2">
      <c r="D22" s="6" t="s">
        <v>74</v>
      </c>
      <c r="H22" s="6" t="s">
        <v>74</v>
      </c>
    </row>
    <row r="23" spans="4:10" x14ac:dyDescent="0.2">
      <c r="E23" s="4" t="s">
        <v>67</v>
      </c>
      <c r="F23" s="4" t="s">
        <v>66</v>
      </c>
      <c r="I23" s="4" t="s">
        <v>67</v>
      </c>
      <c r="J23" s="4" t="s">
        <v>66</v>
      </c>
    </row>
    <row r="24" spans="4:10" x14ac:dyDescent="0.2">
      <c r="D24" t="s">
        <v>30</v>
      </c>
      <c r="E24" s="5" t="s">
        <v>73</v>
      </c>
      <c r="F24" s="5" t="s">
        <v>71</v>
      </c>
      <c r="H24" t="s">
        <v>33</v>
      </c>
      <c r="I24" s="5" t="s">
        <v>81</v>
      </c>
      <c r="J24" s="5" t="s">
        <v>82</v>
      </c>
    </row>
    <row r="25" spans="4:10" x14ac:dyDescent="0.2">
      <c r="D25" t="s">
        <v>29</v>
      </c>
      <c r="E25" s="5">
        <v>-7.43</v>
      </c>
      <c r="F25" s="4">
        <v>-141</v>
      </c>
      <c r="H25" t="s">
        <v>32</v>
      </c>
      <c r="I25" s="5">
        <v>-5.3</v>
      </c>
      <c r="J25" s="4">
        <v>-160</v>
      </c>
    </row>
    <row r="27" spans="4:10" x14ac:dyDescent="0.2">
      <c r="D27" t="s">
        <v>76</v>
      </c>
      <c r="E27" t="s">
        <v>29</v>
      </c>
      <c r="H27" t="s">
        <v>76</v>
      </c>
      <c r="I27" t="s">
        <v>32</v>
      </c>
    </row>
    <row r="28" spans="4:10" x14ac:dyDescent="0.2">
      <c r="D28" t="s">
        <v>75</v>
      </c>
      <c r="E28" t="s">
        <v>29</v>
      </c>
      <c r="H28" t="s">
        <v>75</v>
      </c>
      <c r="I28" t="s">
        <v>32</v>
      </c>
    </row>
    <row r="29" spans="4:10" x14ac:dyDescent="0.2">
      <c r="D29" t="s">
        <v>77</v>
      </c>
      <c r="E29" t="s">
        <v>30</v>
      </c>
      <c r="H29" t="s">
        <v>77</v>
      </c>
      <c r="I29" t="s">
        <v>32</v>
      </c>
    </row>
    <row r="33" spans="4:6" x14ac:dyDescent="0.2">
      <c r="D33" s="6" t="s">
        <v>70</v>
      </c>
    </row>
    <row r="34" spans="4:6" x14ac:dyDescent="0.2">
      <c r="E34" s="4" t="s">
        <v>67</v>
      </c>
      <c r="F34" s="4" t="s">
        <v>66</v>
      </c>
    </row>
    <row r="35" spans="4:6" x14ac:dyDescent="0.2">
      <c r="D35" t="s">
        <v>24</v>
      </c>
      <c r="E35" s="5" t="s">
        <v>86</v>
      </c>
      <c r="F35" s="5" t="s">
        <v>87</v>
      </c>
    </row>
    <row r="36" spans="4:6" x14ac:dyDescent="0.2">
      <c r="D36" t="s">
        <v>23</v>
      </c>
      <c r="E36" s="5" t="s">
        <v>85</v>
      </c>
      <c r="F36" s="4">
        <v>-305</v>
      </c>
    </row>
    <row r="38" spans="4:6" x14ac:dyDescent="0.2">
      <c r="D38" s="6" t="s">
        <v>74</v>
      </c>
    </row>
    <row r="39" spans="4:6" x14ac:dyDescent="0.2">
      <c r="E39" s="4" t="s">
        <v>67</v>
      </c>
      <c r="F39" s="4" t="s">
        <v>66</v>
      </c>
    </row>
    <row r="40" spans="4:6" x14ac:dyDescent="0.2">
      <c r="D40" t="s">
        <v>24</v>
      </c>
      <c r="E40" s="5" t="s">
        <v>84</v>
      </c>
      <c r="F40" s="5" t="s">
        <v>83</v>
      </c>
    </row>
    <row r="41" spans="4:6" x14ac:dyDescent="0.2">
      <c r="D41" t="s">
        <v>23</v>
      </c>
      <c r="E41" s="5">
        <v>-8.5</v>
      </c>
      <c r="F41" s="4">
        <v>-269</v>
      </c>
    </row>
    <row r="43" spans="4:6" x14ac:dyDescent="0.2">
      <c r="D43" t="s">
        <v>76</v>
      </c>
      <c r="E43" t="s">
        <v>23</v>
      </c>
    </row>
    <row r="44" spans="4:6" x14ac:dyDescent="0.2">
      <c r="D44" t="s">
        <v>75</v>
      </c>
      <c r="E44" t="s">
        <v>23</v>
      </c>
    </row>
    <row r="45" spans="4:6" x14ac:dyDescent="0.2">
      <c r="D45" t="s">
        <v>77</v>
      </c>
      <c r="E45" t="s">
        <v>88</v>
      </c>
    </row>
  </sheetData>
  <pageMargins left="0.75" right="0.75" top="1" bottom="1" header="0.5" footer="0.5"/>
  <ignoredErrors>
    <ignoredError sqref="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Miller</cp:lastModifiedBy>
  <dcterms:created xsi:type="dcterms:W3CDTF">2025-11-06T23:00:42Z</dcterms:created>
  <dcterms:modified xsi:type="dcterms:W3CDTF">2025-11-09T18:22:38Z</dcterms:modified>
</cp:coreProperties>
</file>